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\www\intercambio.hackmon.com\documentation\prices\"/>
    </mc:Choice>
  </mc:AlternateContent>
  <xr:revisionPtr revIDLastSave="0" documentId="13_ncr:1_{6F3952CD-F1D9-400C-882F-EDC9DDABFDF6}" xr6:coauthVersionLast="47" xr6:coauthVersionMax="47" xr10:uidLastSave="{00000000-0000-0000-0000-000000000000}"/>
  <bookViews>
    <workbookView xWindow="-120" yWindow="-120" windowWidth="29040" windowHeight="15840" xr2:uid="{A422E05B-1DC6-4D15-B4A7-D0164CAE8A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1" l="1"/>
  <c r="I2" i="1" s="1"/>
  <c r="B6" i="1"/>
  <c r="C2" i="1"/>
  <c r="C5" i="1"/>
  <c r="B7" i="1"/>
  <c r="D4" i="1"/>
  <c r="D7" i="1" s="1"/>
  <c r="B4" i="1"/>
  <c r="C4" i="1" s="1"/>
  <c r="B3" i="1"/>
  <c r="D3" i="1" s="1"/>
  <c r="D2" i="1"/>
  <c r="C3" i="1" l="1"/>
  <c r="C7" i="1" s="1"/>
</calcChain>
</file>

<file path=xl/sharedStrings.xml><?xml version="1.0" encoding="utf-8"?>
<sst xmlns="http://schemas.openxmlformats.org/spreadsheetml/2006/main" count="15" uniqueCount="15">
  <si>
    <t>Descripción</t>
  </si>
  <si>
    <t>Costo Mensual</t>
  </si>
  <si>
    <t>Costo Anual</t>
  </si>
  <si>
    <t>Mailchimp Standard</t>
  </si>
  <si>
    <t>Mailchimp Transactional</t>
  </si>
  <si>
    <t>API Sports</t>
  </si>
  <si>
    <t>Hostgator Web Hosting</t>
  </si>
  <si>
    <t>Total</t>
  </si>
  <si>
    <t>Costo Anual x Adelantado</t>
  </si>
  <si>
    <t>Dominio</t>
  </si>
  <si>
    <t>Otros Pagos</t>
  </si>
  <si>
    <t>conekta</t>
  </si>
  <si>
    <t>Cargo</t>
  </si>
  <si>
    <t>Disponible</t>
  </si>
  <si>
    <t>Comisión (3.4% + 3 + 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</si>
</sst>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44" fontId="0" fillId="0" borderId="0" xfId="0" applyNumberFormat="1"/>
    <xf numFmtId="44" fontId="0" fillId="0" borderId="0" xfId="1" applyNumberFormat="1" applyFont="1"/>
    <xf numFmtId="44" fontId="1" fillId="0" borderId="0" xfId="0" applyNumberFormat="1" applyFont="1"/>
    <xf numFmtId="2" fontId="0" fillId="0" borderId="0" xfId="0" applyNumberFormat="1"/>
  </cellXfs>
  <cellStyles count="2">
    <cellStyle name="Moneda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D5125-AA81-4F6D-9EE6-E8334E7C85D4}" name="Tabla1" displayName="Tabla1" ref="A1:D7" totalsRowCount="1">
  <autoFilter ref="A1:D6" xr:uid="{048D5125-AA81-4F6D-9EE6-E8334E7C85D4}"/>
  <tableColumns count="4">
    <tableColumn id="1" xr3:uid="{ED701B54-C764-4E18-81DD-C0E3827A8432}" name="Descripción" totalsRowLabel="Total"/>
    <tableColumn id="2" xr3:uid="{861BA308-B50A-42DD-9FCE-C276E5656482}" name="Costo Mensual" totalsRowFunction="sum" totalsRowDxfId="2" dataCellStyle="Moneda"/>
    <tableColumn id="4" xr3:uid="{F01F9CC6-C026-4086-AA03-491858F867B4}" name="Costo Anual" totalsRowFunction="sum" dataDxfId="3" totalsRowDxfId="1" dataCellStyle="Moneda">
      <calculatedColumnFormula>Tabla1[[#This Row],[Costo Mensual]]*12</calculatedColumnFormula>
    </tableColumn>
    <tableColumn id="3" xr3:uid="{846805B7-3006-42B7-997C-7CD44B2CD80B}" name="Costo Anual x Adelantado" totalsRowFunction="sum" totalsRow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C717-1445-4D54-A305-3FE3D8C51F37}">
  <dimension ref="A1:I12"/>
  <sheetViews>
    <sheetView tabSelected="1" workbookViewId="0">
      <selection activeCell="I12" sqref="I12"/>
    </sheetView>
  </sheetViews>
  <sheetFormatPr baseColWidth="10" defaultRowHeight="15" x14ac:dyDescent="0.25"/>
  <cols>
    <col min="1" max="1" width="22.7109375" bestFit="1" customWidth="1"/>
    <col min="2" max="2" width="17" customWidth="1"/>
    <col min="3" max="3" width="17.140625" customWidth="1"/>
    <col min="4" max="4" width="26.28515625" bestFit="1" customWidth="1"/>
    <col min="8" max="8" width="23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8</v>
      </c>
      <c r="F1" t="s">
        <v>10</v>
      </c>
      <c r="G1" t="s">
        <v>12</v>
      </c>
      <c r="H1" t="s">
        <v>14</v>
      </c>
      <c r="I1" t="s">
        <v>13</v>
      </c>
    </row>
    <row r="2" spans="1:9" x14ac:dyDescent="0.25">
      <c r="A2" t="s">
        <v>3</v>
      </c>
      <c r="B2" s="1">
        <v>360</v>
      </c>
      <c r="C2" s="1">
        <f>Tabla1[[#This Row],[Costo Mensual]]*12</f>
        <v>4320</v>
      </c>
      <c r="D2" s="1">
        <f>B2*12</f>
        <v>4320</v>
      </c>
      <c r="F2" t="s">
        <v>11</v>
      </c>
      <c r="G2">
        <v>100</v>
      </c>
      <c r="H2" s="5">
        <f>((G2*0.034)+3)*1.16</f>
        <v>7.4239999999999995</v>
      </c>
      <c r="I2" s="5">
        <f>G2-H2</f>
        <v>92.575999999999993</v>
      </c>
    </row>
    <row r="3" spans="1:9" x14ac:dyDescent="0.25">
      <c r="A3" t="s">
        <v>4</v>
      </c>
      <c r="B3" s="1">
        <f>20*20</f>
        <v>400</v>
      </c>
      <c r="C3" s="1">
        <f>Tabla1[[#This Row],[Costo Mensual]]*12</f>
        <v>4800</v>
      </c>
      <c r="D3" s="1">
        <f>B3*12</f>
        <v>4800</v>
      </c>
    </row>
    <row r="4" spans="1:9" x14ac:dyDescent="0.25">
      <c r="A4" t="s">
        <v>5</v>
      </c>
      <c r="B4" s="1">
        <f>19*20</f>
        <v>380</v>
      </c>
      <c r="C4" s="1">
        <f>Tabla1[[#This Row],[Costo Mensual]]*12</f>
        <v>4560</v>
      </c>
      <c r="D4" s="1">
        <f>114*20</f>
        <v>2280</v>
      </c>
    </row>
    <row r="5" spans="1:9" x14ac:dyDescent="0.25">
      <c r="A5" t="s">
        <v>6</v>
      </c>
      <c r="B5" s="1">
        <v>210</v>
      </c>
      <c r="C5" s="1">
        <f>Tabla1[[#This Row],[Costo Mensual]]*12</f>
        <v>2520</v>
      </c>
      <c r="D5" s="1">
        <v>1145</v>
      </c>
    </row>
    <row r="6" spans="1:9" x14ac:dyDescent="0.25">
      <c r="A6" t="s">
        <v>9</v>
      </c>
      <c r="B6" s="1">
        <f>Tabla1[[#This Row],[Costo Anual]]/12</f>
        <v>32.5</v>
      </c>
      <c r="C6" s="3">
        <v>390</v>
      </c>
      <c r="D6" s="1">
        <v>390</v>
      </c>
      <c r="I6" s="2"/>
    </row>
    <row r="7" spans="1:9" x14ac:dyDescent="0.25">
      <c r="A7" t="s">
        <v>7</v>
      </c>
      <c r="B7" s="4">
        <f>SUBTOTAL(109,Tabla1[Costo Mensual])</f>
        <v>1382.5</v>
      </c>
      <c r="C7" s="2">
        <f>SUBTOTAL(109,Tabla1[Costo Anual])</f>
        <v>16590</v>
      </c>
      <c r="D7" s="4">
        <f>SUBTOTAL(109,Tabla1[Costo Anual x Adelantado])</f>
        <v>12935</v>
      </c>
    </row>
    <row r="12" spans="1:9" x14ac:dyDescent="0.25">
      <c r="D1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hackmon</dc:creator>
  <cp:lastModifiedBy>hackmon</cp:lastModifiedBy>
  <dcterms:created xsi:type="dcterms:W3CDTF">2022-06-09T20:36:00Z</dcterms:created>
  <dcterms:modified xsi:type="dcterms:W3CDTF">2022-06-13T23:15:07Z</dcterms:modified>
</cp:coreProperties>
</file>